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alculator" sheetId="2" state="visible" r:id="rId2"/>
    <sheet xmlns:r="http://schemas.openxmlformats.org/officeDocument/2006/relationships" name="Fee 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[Red]-$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3"/>
    </font>
    <font>
      <name val="Calibri"/>
      <i val="1"/>
      <color rgb="006B7280"/>
      <sz val="10"/>
    </font>
    <font>
      <name val="Calibri"/>
      <b val="1"/>
      <color rgb="001F2A44"/>
      <sz val="11"/>
    </font>
    <font>
      <name val="Calibri"/>
      <b val="1"/>
      <color rgb="002FA39B"/>
      <sz val="12"/>
    </font>
    <font>
      <name val="Calibri"/>
      <color rgb="001F2A44"/>
      <sz val="11"/>
    </font>
    <font>
      <name val="Calibri"/>
      <i val="1"/>
      <color rgb="006B7280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2A44"/>
      <sz val="13"/>
    </font>
    <font>
      <name val="Calibri"/>
      <b val="1"/>
      <color rgb="001F2A44"/>
      <sz val="12"/>
    </font>
    <font>
      <name val="Calibri"/>
      <color rgb="001F2A44"/>
      <sz val="1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FA39B"/>
      </patternFill>
    </fill>
    <fill>
      <patternFill patternType="solid">
        <fgColor rgb="00FFF7E6"/>
      </patternFill>
    </fill>
    <fill>
      <patternFill patternType="solid">
        <fgColor rgb="00F4F6F8"/>
      </patternFill>
    </fill>
  </fills>
  <borders count="3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  <border>
      <left style="thin">
        <color rgb="00E8B04B"/>
      </left>
      <right style="thin">
        <color rgb="00E8B04B"/>
      </right>
      <top style="thin">
        <color rgb="00E8B04B"/>
      </top>
      <bottom style="thin">
        <color rgb="00E8B04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0" fillId="0" borderId="1" pivotButton="0" quotePrefix="0" xfId="0"/>
    <xf numFmtId="165" fontId="4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12" fillId="4" borderId="2" applyAlignment="1" pivotButton="0" quotePrefix="0" xfId="0">
      <alignment horizontal="left" vertical="top" wrapText="1"/>
    </xf>
    <xf numFmtId="0" fontId="0" fillId="0" borderId="2" pivotButton="0" quotePrefix="0" xfId="0"/>
    <xf numFmtId="0" fontId="4" fillId="0" borderId="0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name val="Calibri"/>
        <b val="1"/>
        <color rgb="00FFFFFF"/>
        <sz val="13"/>
      </font>
      <fill>
        <patternFill patternType="solid">
          <fgColor rgb="00C0392B"/>
        </patternFill>
      </fill>
    </dxf>
    <dxf>
      <font>
        <name val="Calibri"/>
        <b val="1"/>
        <color rgb="00FFFFFF"/>
        <sz val="13"/>
      </font>
      <fill>
        <patternFill patternType="solid">
          <fgColor rgb="001E7F5C"/>
        </patternFill>
      </fill>
    </dxf>
    <dxf>
      <font>
        <name val="Calibri"/>
        <b val="1"/>
        <color rgb="00C0392B"/>
        <sz val="12"/>
      </font>
    </dxf>
    <dxf>
      <font>
        <name val="Calibri"/>
        <b val="1"/>
        <color rgb="001E7F5C"/>
        <sz val="1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4" customWidth="1" min="2" max="2"/>
    <col width="2" customWidth="1" min="3" max="3"/>
  </cols>
  <sheetData>
    <row r="1" ht="30" customHeight="1">
      <c r="A1" s="1" t="inlineStr">
        <is>
          <t xml:space="preserve">  LedgerLane</t>
        </is>
      </c>
    </row>
    <row r="2" ht="22" customHeight="1">
      <c r="A2" s="2" t="inlineStr">
        <is>
          <t xml:space="preserve">  Free Etsy Profit Calculator</t>
        </is>
      </c>
    </row>
    <row r="3" ht="18" customHeight="1">
      <c r="A3" s="3" t="inlineStr">
        <is>
          <t xml:space="preserve">  Your free single-item taster from LedgerLane.</t>
        </is>
      </c>
    </row>
    <row r="6">
      <c r="B6" s="4" t="inlineStr">
        <is>
          <t>What this does</t>
        </is>
      </c>
    </row>
    <row r="7" ht="30" customHeight="1">
      <c r="B7" s="5" t="inlineStr">
        <is>
          <t>Enter what an item costs you and what you sell it for. This free calculator instantly shows the marketplace + payment fees, your net profit, and your true profit margin — so you never sell at a loss again.</t>
        </is>
      </c>
    </row>
    <row r="9">
      <c r="B9" s="4" t="inlineStr">
        <is>
          <t>How to use it (60 seconds)</t>
        </is>
      </c>
    </row>
    <row r="10" ht="16" customHeight="1">
      <c r="B10" s="5" t="inlineStr">
        <is>
          <t>1.  Open the  Calculator  tab.</t>
        </is>
      </c>
    </row>
    <row r="11" ht="30" customHeight="1">
      <c r="B11" s="5" t="inlineStr">
        <is>
          <t>2.  Pick your platform from the dropdown (Etsy, Shopify, Amazon Handmade, eBay, or Own Website).</t>
        </is>
      </c>
    </row>
    <row r="12" ht="30" customHeight="1">
      <c r="B12" s="5" t="inlineStr">
        <is>
          <t>3.  Type your item cost, sale price, shipping charged, and your shipping cost into the gold cells.</t>
        </is>
      </c>
    </row>
    <row r="13" ht="30" customHeight="1">
      <c r="B13" s="5" t="inlineStr">
        <is>
          <t>4.  Read your net profit and margin at the bottom. Green = healthy, red = you're losing money.</t>
        </is>
      </c>
    </row>
    <row r="15">
      <c r="B15" s="4" t="inlineStr">
        <is>
          <t>Only type in the gold cells</t>
        </is>
      </c>
    </row>
    <row r="16" ht="30" customHeight="1">
      <c r="B16" s="5" t="inlineStr">
        <is>
          <t>Every gold-shaded cell is a place for your numbers. Everything else calculates automatically — leave it alone.</t>
        </is>
      </c>
    </row>
    <row r="18">
      <c r="B18" s="4" t="inlineStr">
        <is>
          <t>Keep your fees accurate</t>
        </is>
      </c>
    </row>
    <row r="19" ht="30" customHeight="1">
      <c r="B19" s="5" t="inlineStr">
        <is>
          <t>Marketplace fees change. The  Fee Settings  tab holds the fee rates and is pre-filled with 2026 published rates. If your platform updates its fees, change them there once and every calculation updates.</t>
        </is>
      </c>
    </row>
    <row r="21">
      <c r="B21" s="4" t="inlineStr">
        <is>
          <t>Want more? (a quick, friendly note)</t>
        </is>
      </c>
    </row>
    <row r="22" ht="30" customHeight="1">
      <c r="B22" s="5" t="inlineStr">
        <is>
          <t>This free calculator is the single-item taster. If you love it, the full versions do more:</t>
        </is>
      </c>
    </row>
    <row r="23" ht="30" customHeight="1">
      <c r="B23" s="5" t="inlineStr">
        <is>
          <t>•  Profit &amp; Fee Calculator ($12) adds a 20-product Bulk Calculator so you can price your whole line at once.</t>
        </is>
      </c>
    </row>
    <row r="24" ht="30" customHeight="1">
      <c r="B24" s="5" t="inlineStr">
        <is>
          <t>•  Complete Solo Seller Toolkit ($39) bundles every calculator, tracker, and checklist we make — the whole system, one download.</t>
        </is>
      </c>
    </row>
    <row r="25" ht="30" customHeight="1">
      <c r="B25" s="5" t="inlineStr">
        <is>
          <t>No pressure at all — this free tool is yours to keep and use forever. Full lineup lives at LedgerLane.</t>
        </is>
      </c>
    </row>
    <row r="27">
      <c r="B27" s="4" t="inlineStr">
        <is>
          <t>Included tabs</t>
        </is>
      </c>
    </row>
    <row r="28" ht="16" customHeight="1">
      <c r="B28" s="5" t="inlineStr">
        <is>
          <t>•  Calculator — single-item profit &amp; fee breakdown</t>
        </is>
      </c>
    </row>
    <row r="29" ht="16" customHeight="1">
      <c r="B29" s="5" t="inlineStr">
        <is>
          <t>•  Fee Settings — editable fee rates per platform</t>
        </is>
      </c>
    </row>
    <row r="31" ht="28" customHeight="1">
      <c r="B31" s="6" t="inlineStr">
        <is>
          <t>Free single-user sample from LedgerLane — full versions at LedgerLane. For your own business use; not for resale or redistribution.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3" customWidth="1" min="4" max="4"/>
    <col width="30" customWidth="1" min="5" max="5"/>
    <col width="18" customWidth="1" min="6" max="6"/>
  </cols>
  <sheetData>
    <row r="1" ht="30" customHeight="1">
      <c r="A1" s="1" t="inlineStr">
        <is>
          <t xml:space="preserve">  LedgerLane</t>
        </is>
      </c>
    </row>
    <row r="2" ht="22" customHeight="1">
      <c r="A2" s="2" t="inlineStr">
        <is>
          <t xml:space="preserve">  Single-Item Calculator</t>
        </is>
      </c>
    </row>
    <row r="3" ht="18" customHeight="1">
      <c r="A3" s="3" t="inlineStr">
        <is>
          <t xml:space="preserve">  Type into the gold cells only. Results update instantly.</t>
        </is>
      </c>
    </row>
    <row r="5" ht="20" customHeight="1">
      <c r="B5" s="7" t="inlineStr">
        <is>
          <t xml:space="preserve">  Your inputs</t>
        </is>
      </c>
      <c r="E5" s="7" t="inlineStr">
        <is>
          <t xml:space="preserve">  Health check</t>
        </is>
      </c>
    </row>
    <row r="6">
      <c r="B6" s="8" t="inlineStr">
        <is>
          <t>Platform</t>
        </is>
      </c>
      <c r="C6" s="9" t="inlineStr">
        <is>
          <t>Etsy</t>
        </is>
      </c>
      <c r="E6" s="10">
        <f>IF(C14=0,"Enter a sale price to begin.",IF(C23&lt;0,"LOSS — you lose "&amp;TEXT(-C23,"$0.00")&amp;" on every sale. Raise price or cut cost.",IF(C24&lt;0.15,"THIN — "&amp;TEXT(C24,"0%")&amp;" margin. Under 15% leaves no room for returns or ads.",IF(C24&lt;0.35,"OK — "&amp;TEXT(C24,"0%")&amp;" margin. Solid for most handmade goods.","HEALTHY — "&amp;TEXT(C24,"0%")&amp;" margin. Strong. Consider scaling this product."))))</f>
        <v/>
      </c>
      <c r="F6" s="11" t="n"/>
    </row>
    <row r="7">
      <c r="B7" s="8" t="inlineStr">
        <is>
          <t>Item cost (what you pay)</t>
        </is>
      </c>
      <c r="C7" s="12" t="n">
        <v>6.5</v>
      </c>
      <c r="E7" s="11" t="n"/>
      <c r="F7" s="11" t="n"/>
    </row>
    <row r="8">
      <c r="B8" s="8" t="inlineStr">
        <is>
          <t>Sale price (item)</t>
        </is>
      </c>
      <c r="C8" s="12" t="n">
        <v>24</v>
      </c>
      <c r="E8" s="11" t="n"/>
      <c r="F8" s="11" t="n"/>
    </row>
    <row r="9">
      <c r="B9" s="8" t="inlineStr">
        <is>
          <t>Shipping you charge buyer</t>
        </is>
      </c>
      <c r="C9" s="12" t="n">
        <v>5</v>
      </c>
      <c r="E9" s="11" t="n"/>
      <c r="F9" s="11" t="n"/>
    </row>
    <row r="10">
      <c r="B10" s="8" t="inlineStr">
        <is>
          <t>Your actual shipping cost</t>
        </is>
      </c>
      <c r="C10" s="12" t="n">
        <v>4.2</v>
      </c>
      <c r="E10" s="11" t="n"/>
      <c r="F10" s="11" t="n"/>
    </row>
    <row r="11">
      <c r="B11" s="8" t="inlineStr">
        <is>
          <t>Other cost per item (packaging, etc.)</t>
        </is>
      </c>
      <c r="C11" s="12" t="n">
        <v>0.75</v>
      </c>
    </row>
    <row r="12">
      <c r="E12" s="6" t="inlineStr">
        <is>
          <t>Rule of thumb: aim for 35%+ margin on handmade so promos, returns, and ads don't wipe out profit.</t>
        </is>
      </c>
    </row>
    <row r="13" ht="20" customHeight="1">
      <c r="B13" s="7" t="inlineStr">
        <is>
          <t xml:space="preserve">  Fee breakdown</t>
        </is>
      </c>
    </row>
    <row r="14" ht="20" customHeight="1">
      <c r="B14" s="8" t="inlineStr">
        <is>
          <t>Gross collected (price + shipping)</t>
        </is>
      </c>
      <c r="C14" s="13">
        <f>C8+C9</f>
        <v/>
      </c>
      <c r="E14" s="7" t="inlineStr">
        <is>
          <t xml:space="preserve">  Free single-item taster</t>
        </is>
      </c>
    </row>
    <row r="15">
      <c r="B15" s="8" t="inlineStr">
        <is>
          <t>Transaction fee</t>
        </is>
      </c>
      <c r="C15" s="13">
        <f>-(C14*VLOOKUP($C$6,'Fee Settings'!$B$7:$G$11,2,FALSE))</f>
        <v/>
      </c>
      <c r="E15" s="14" t="inlineStr">
        <is>
          <t>Pricing more than one product? The full Profit &amp; Fee Calculator ($12) adds a 20-product Bulk Calculator, and the Complete Solo Seller Toolkit ($39) bundles every tool. Full lineup at LedgerLane.</t>
        </is>
      </c>
      <c r="F15" s="15" t="n"/>
    </row>
    <row r="16">
      <c r="B16" s="8" t="inlineStr">
        <is>
          <t>Payment processing fee</t>
        </is>
      </c>
      <c r="C16" s="13">
        <f>-((C14*VLOOKUP($C$6,'Fee Settings'!$B$7:$G$11,3,FALSE))+VLOOKUP($C$6,'Fee Settings'!$B$7:$G$11,4,FALSE))</f>
        <v/>
      </c>
      <c r="E16" s="15" t="n"/>
      <c r="F16" s="15" t="n"/>
    </row>
    <row r="17">
      <c r="B17" s="8" t="inlineStr">
        <is>
          <t>Listing fee</t>
        </is>
      </c>
      <c r="C17" s="13">
        <f>-VLOOKUP($C$6,'Fee Settings'!$B$7:$G$11,5,FALSE)</f>
        <v/>
      </c>
      <c r="E17" s="15" t="n"/>
      <c r="F17" s="15" t="n"/>
    </row>
    <row r="18">
      <c r="B18" s="8" t="inlineStr">
        <is>
          <t>Offsite ads fee</t>
        </is>
      </c>
      <c r="C18" s="13">
        <f>-(C14*VLOOKUP($C$6,'Fee Settings'!$B$7:$G$11,6,FALSE))</f>
        <v/>
      </c>
      <c r="E18" s="15" t="n"/>
      <c r="F18" s="15" t="n"/>
    </row>
    <row r="19">
      <c r="B19" s="16" t="inlineStr">
        <is>
          <t>Total fees</t>
        </is>
      </c>
      <c r="C19" s="17">
        <f>SUM(C15:C18)</f>
        <v/>
      </c>
      <c r="E19" s="15" t="n"/>
      <c r="F19" s="15" t="n"/>
    </row>
    <row r="21" ht="20" customHeight="1">
      <c r="B21" s="7" t="inlineStr">
        <is>
          <t xml:space="preserve">  Your bottom line</t>
        </is>
      </c>
    </row>
    <row r="22">
      <c r="B22" s="8" t="inlineStr">
        <is>
          <t>Total costs (item + shipping + other)</t>
        </is>
      </c>
      <c r="C22" s="13">
        <f>-(C7+C10+C11)</f>
        <v/>
      </c>
    </row>
    <row r="23">
      <c r="B23" s="16" t="inlineStr">
        <is>
          <t>Net profit per sale</t>
        </is>
      </c>
      <c r="C23" s="18">
        <f>C14+C19+C22</f>
        <v/>
      </c>
    </row>
    <row r="24">
      <c r="B24" s="16" t="inlineStr">
        <is>
          <t>Profit margin</t>
        </is>
      </c>
      <c r="C24" s="19">
        <f>IF(C14=0,0,C23/C14)</f>
        <v/>
      </c>
    </row>
    <row r="25">
      <c r="B25" s="16" t="inlineStr">
        <is>
          <t>Markup on cost</t>
        </is>
      </c>
      <c r="C25" s="20">
        <f>IF((C7+C10+C11)=0,0,C23/(C7+C10+C11))</f>
        <v/>
      </c>
    </row>
    <row r="26">
      <c r="B26" s="8" t="inlineStr">
        <is>
          <t>Break-even sale price</t>
        </is>
      </c>
      <c r="C26" s="13">
        <f>(C7+C10+C11+VLOOKUP($C$6,'Fee Settings'!$B$7:$G$11,4,FALSE)+VLOOKUP($C$6,'Fee Settings'!$B$7:$G$11,5,FALSE))/(1-VLOOKUP($C$6,'Fee Settings'!$B$7:$G$11,2,FALSE)-VLOOKUP($C$6,'Fee Settings'!$B$7:$G$11,3,FALSE)-VLOOKUP($C$6,'Fee Settings'!$B$7:$G$11,6,FALSE))-C9</f>
        <v/>
      </c>
    </row>
    <row r="27">
      <c r="B27" s="6" t="inlineStr">
        <is>
          <t>Break-even = the item sale price where net profit is $0 at your current costs, shipping, and fees.</t>
        </is>
      </c>
    </row>
  </sheetData>
  <mergeCells count="12">
    <mergeCell ref="B13:C13"/>
    <mergeCell ref="A2:F2"/>
    <mergeCell ref="E12:F12"/>
    <mergeCell ref="B21:C21"/>
    <mergeCell ref="B27:E27"/>
    <mergeCell ref="E15:F19"/>
    <mergeCell ref="B5:C5"/>
    <mergeCell ref="A1:F1"/>
    <mergeCell ref="E6:F10"/>
    <mergeCell ref="E5:F5"/>
    <mergeCell ref="E14:F14"/>
    <mergeCell ref="A3:F3"/>
  </mergeCells>
  <conditionalFormatting sqref="C23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C24">
    <cfRule type="cellIs" priority="3" operator="lessThan" dxfId="2">
      <formula>0.15</formula>
    </cfRule>
    <cfRule type="cellIs" priority="4" operator="greaterThanOrEqual" dxfId="3">
      <formula>0.35</formula>
    </cfRule>
  </conditionalFormatting>
  <dataValidations count="1">
    <dataValidation sqref="C6" showDropDown="0" showInputMessage="0" showErrorMessage="0" allowBlank="0" type="list">
      <formula1>"Etsy,Shopify,Amazon Handmade,eBay,Own Website"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 xml:space="preserve">  LedgerLane</t>
        </is>
      </c>
    </row>
    <row r="2" ht="22" customHeight="1">
      <c r="A2" s="2" t="inlineStr">
        <is>
          <t xml:space="preserve">  Fee Settings</t>
        </is>
      </c>
    </row>
    <row r="3" ht="18" customHeight="1">
      <c r="A3" s="3" t="inlineStr">
        <is>
          <t xml:space="preserve">  Edit these rates if your platform changes its fees. Defaults = published 2026 rates.</t>
        </is>
      </c>
    </row>
    <row r="5" ht="20" customHeight="1">
      <c r="B5" s="7" t="inlineStr">
        <is>
          <t xml:space="preserve">  Fee rates by platform</t>
        </is>
      </c>
    </row>
    <row r="6" ht="30" customHeight="1">
      <c r="B6" s="21" t="inlineStr">
        <is>
          <t>Platform</t>
        </is>
      </c>
      <c r="C6" s="21" t="inlineStr">
        <is>
          <t>Transaction %</t>
        </is>
      </c>
      <c r="D6" s="21" t="inlineStr">
        <is>
          <t>Payment %</t>
        </is>
      </c>
      <c r="E6" s="21" t="inlineStr">
        <is>
          <t>Payment fixed $</t>
        </is>
      </c>
      <c r="F6" s="21" t="inlineStr">
        <is>
          <t>Listing fee $</t>
        </is>
      </c>
      <c r="G6" s="21" t="inlineStr">
        <is>
          <t>Offsite ads %</t>
        </is>
      </c>
    </row>
    <row r="7">
      <c r="B7" s="22" t="inlineStr">
        <is>
          <t>Etsy</t>
        </is>
      </c>
      <c r="C7" s="23" t="n">
        <v>0.065</v>
      </c>
      <c r="D7" s="23" t="n">
        <v>0.03</v>
      </c>
      <c r="E7" s="12" t="n">
        <v>0.25</v>
      </c>
      <c r="F7" s="12" t="n">
        <v>0.2</v>
      </c>
      <c r="G7" s="23" t="n">
        <v>0</v>
      </c>
    </row>
    <row r="8">
      <c r="B8" s="22" t="inlineStr">
        <is>
          <t>Shopify</t>
        </is>
      </c>
      <c r="C8" s="23" t="n">
        <v>0</v>
      </c>
      <c r="D8" s="23" t="n">
        <v>0.029</v>
      </c>
      <c r="E8" s="12" t="n">
        <v>0.3</v>
      </c>
      <c r="F8" s="12" t="n">
        <v>0</v>
      </c>
      <c r="G8" s="23" t="n">
        <v>0</v>
      </c>
    </row>
    <row r="9">
      <c r="B9" s="22" t="inlineStr">
        <is>
          <t>Amazon Handmade</t>
        </is>
      </c>
      <c r="C9" s="23" t="n">
        <v>0.15</v>
      </c>
      <c r="D9" s="23" t="n">
        <v>0</v>
      </c>
      <c r="E9" s="12" t="n">
        <v>0</v>
      </c>
      <c r="F9" s="12" t="n">
        <v>0</v>
      </c>
      <c r="G9" s="23" t="n">
        <v>0</v>
      </c>
    </row>
    <row r="10">
      <c r="B10" s="22" t="inlineStr">
        <is>
          <t>eBay</t>
        </is>
      </c>
      <c r="C10" s="23" t="n">
        <v>0.135</v>
      </c>
      <c r="D10" s="23" t="n">
        <v>0</v>
      </c>
      <c r="E10" s="12" t="n">
        <v>0.3</v>
      </c>
      <c r="F10" s="12" t="n">
        <v>0</v>
      </c>
      <c r="G10" s="23" t="n">
        <v>0</v>
      </c>
    </row>
    <row r="11">
      <c r="B11" s="22" t="inlineStr">
        <is>
          <t>Own Website</t>
        </is>
      </c>
      <c r="C11" s="23" t="n">
        <v>0</v>
      </c>
      <c r="D11" s="23" t="n">
        <v>0.029</v>
      </c>
      <c r="E11" s="12" t="n">
        <v>0.3</v>
      </c>
      <c r="F11" s="12" t="n">
        <v>0</v>
      </c>
      <c r="G11" s="23" t="n">
        <v>0</v>
      </c>
    </row>
    <row r="13" ht="42" customHeight="1">
      <c r="B13" s="6" t="inlineStr">
        <is>
          <t>Etsy: 6.5% transaction + 3% + $0.25 payment processing + $0.20 listing. Offsite Ads (12-15%) only apply to sales Etsy sources via its ads — leave 0 unless you know a sale came from Offsite Ads.</t>
        </is>
      </c>
    </row>
    <row r="14" ht="30" customHeight="1">
      <c r="B14" s="6" t="inlineStr">
        <is>
          <t>Amazon Handmade: 15% referral fee, no separate listing/payment fee here. eBay: ~13.5% final value + $0.30. Verify current rates on your platform — they change.</t>
        </is>
      </c>
    </row>
  </sheetData>
  <mergeCells count="6">
    <mergeCell ref="A1:G1"/>
    <mergeCell ref="B5:G5"/>
    <mergeCell ref="B14:G14"/>
    <mergeCell ref="A3:G3"/>
    <mergeCell ref="A2:G2"/>
    <mergeCell ref="B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2026-07-05T11:43:54Z</dcterms:created>
  <dcterms:modified xmlns:dcterms="http://purl.org/dc/terms/" xmlns:xsi="http://www.w3.org/2001/XMLSchema-instance" xsi:type="dcterms:W3CDTF">2026-07-05T11:43:54Z</dcterms:modified>
</cp:coreProperties>
</file>